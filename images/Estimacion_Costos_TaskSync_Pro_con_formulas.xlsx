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ctec\Downloads\"/>
    </mc:Choice>
  </mc:AlternateContent>
  <xr:revisionPtr revIDLastSave="0" documentId="13_ncr:1_{21A244B6-CFED-43CD-B1DB-0F533ECF4DE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stimación" sheetId="1" r:id="rId1"/>
    <sheet name="Costos TaskSyncPr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  <c r="H3" i="1"/>
  <c r="H15" i="1" s="1"/>
  <c r="H16" i="1" s="1"/>
  <c r="H17" i="1" s="1"/>
  <c r="H18" i="1" s="1"/>
  <c r="H2" i="1"/>
  <c r="C22" i="2"/>
  <c r="C11" i="2"/>
  <c r="C25" i="2" s="1"/>
</calcChain>
</file>

<file path=xl/sharedStrings.xml><?xml version="1.0" encoding="utf-8"?>
<sst xmlns="http://schemas.openxmlformats.org/spreadsheetml/2006/main" count="73" uniqueCount="58">
  <si>
    <t>Módulo</t>
  </si>
  <si>
    <t>Simple</t>
  </si>
  <si>
    <t>Muy fácil</t>
  </si>
  <si>
    <t>Fácil</t>
  </si>
  <si>
    <t>Normal</t>
  </si>
  <si>
    <t>Difícil</t>
  </si>
  <si>
    <t>Muy difícil</t>
  </si>
  <si>
    <t>Horas</t>
  </si>
  <si>
    <t>Estimación por tipo</t>
  </si>
  <si>
    <t>Configurar Backend/API</t>
  </si>
  <si>
    <t>Diseño Base de Datos</t>
  </si>
  <si>
    <t>Autenticación JWT</t>
  </si>
  <si>
    <t>CRUD de Tareas</t>
  </si>
  <si>
    <t>Total Horas</t>
  </si>
  <si>
    <t>Categorías</t>
  </si>
  <si>
    <t>Días</t>
  </si>
  <si>
    <t>Calendario</t>
  </si>
  <si>
    <t>Semanas</t>
  </si>
  <si>
    <t>Recordatorios</t>
  </si>
  <si>
    <t>Meses</t>
  </si>
  <si>
    <t>Sincronización Wearable</t>
  </si>
  <si>
    <t>Notificaciones FCM</t>
  </si>
  <si>
    <t>UI React Native</t>
  </si>
  <si>
    <t>App Wear OS</t>
  </si>
  <si>
    <t>Pruebas e Integración</t>
  </si>
  <si>
    <t>Categoría</t>
  </si>
  <si>
    <t>Concepto</t>
  </si>
  <si>
    <t>Costo (MXN)</t>
  </si>
  <si>
    <t>Desarrollo</t>
  </si>
  <si>
    <t>Backend API</t>
  </si>
  <si>
    <t>Frontend Web</t>
  </si>
  <si>
    <t>App Móvil</t>
  </si>
  <si>
    <t>Wear OS / watchOS</t>
  </si>
  <si>
    <t>Infraestructura</t>
  </si>
  <si>
    <t>Hosting y BD</t>
  </si>
  <si>
    <t>Dominio/SSL</t>
  </si>
  <si>
    <t>Herramientas</t>
  </si>
  <si>
    <t>GitHub / CI-CD</t>
  </si>
  <si>
    <t>QA</t>
  </si>
  <si>
    <t>Pruebas</t>
  </si>
  <si>
    <t>Documentación</t>
  </si>
  <si>
    <t>Manuales</t>
  </si>
  <si>
    <t>Total</t>
  </si>
  <si>
    <t>Recursos Extra (opcionales)</t>
  </si>
  <si>
    <t>Marketing</t>
  </si>
  <si>
    <t>Publicidad / lanzamiento en tiendas</t>
  </si>
  <si>
    <t>Soporte</t>
  </si>
  <si>
    <t>Soporte técnico post-lanzamiento (3 meses)</t>
  </si>
  <si>
    <t>Diseño</t>
  </si>
  <si>
    <t>Diseño UX/UI adicional</t>
  </si>
  <si>
    <t>Servidor de staging / pruebas</t>
  </si>
  <si>
    <t>Licencias de APIs de terceros (mapas, push)</t>
  </si>
  <si>
    <t>Legal</t>
  </si>
  <si>
    <t>Aviso de privacidad / términos y condiciones</t>
  </si>
  <si>
    <t>Capacitación</t>
  </si>
  <si>
    <t>Capacitación al equipo</t>
  </si>
  <si>
    <t>Subtotal Recursos Extra</t>
  </si>
  <si>
    <t>Total General (con recursos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</si>
</sst>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family val="2"/>
      <charset val="1"/>
    </font>
    <font>
      <b/>
      <sz val="11"/>
      <name val="Calibri"/>
      <charset val="1"/>
    </font>
    <font>
      <b/>
      <i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  <font>
      <i/>
      <sz val="9"/>
      <color rgb="FF80808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558ED5"/>
      </patternFill>
    </fill>
    <fill>
      <patternFill patternType="solid">
        <fgColor theme="3" tint="0.39988402966399123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3" fontId="6" fillId="0" borderId="1" xfId="0" applyNumberFormat="1" applyFont="1" applyBorder="1"/>
    <xf numFmtId="3" fontId="3" fillId="0" borderId="1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58ED5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zoomScaleNormal="100" workbookViewId="0">
      <selection activeCell="M17" sqref="M17"/>
    </sheetView>
  </sheetViews>
  <sheetFormatPr baseColWidth="10" defaultColWidth="8.88671875" defaultRowHeight="14.4" x14ac:dyDescent="0.3"/>
  <cols>
    <col min="1" max="1" width="24.777343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  <c r="L1" s="2"/>
      <c r="M1" s="2"/>
      <c r="N1" s="2"/>
      <c r="O1" s="2"/>
    </row>
    <row r="2" spans="1:15" ht="14.25" customHeight="1" x14ac:dyDescent="0.3">
      <c r="A2" s="2" t="s">
        <v>9</v>
      </c>
      <c r="B2" s="2"/>
      <c r="C2" s="2">
        <v>1</v>
      </c>
      <c r="D2" s="2"/>
      <c r="E2" s="2"/>
      <c r="F2" s="2"/>
      <c r="G2" s="2"/>
      <c r="H2" s="2">
        <f t="shared" ref="H2:H13" si="0">SUMPRODUCT(B2:G2,$J$3:$O$3)</f>
        <v>8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</row>
    <row r="3" spans="1:15" ht="14.25" customHeight="1" x14ac:dyDescent="0.3">
      <c r="A3" s="2" t="s">
        <v>10</v>
      </c>
      <c r="B3" s="2"/>
      <c r="C3" s="2">
        <v>1</v>
      </c>
      <c r="D3" s="2"/>
      <c r="E3" s="2"/>
      <c r="F3" s="2"/>
      <c r="G3" s="2"/>
      <c r="H3" s="2">
        <f t="shared" si="0"/>
        <v>8</v>
      </c>
      <c r="J3" s="2">
        <v>4</v>
      </c>
      <c r="K3" s="2">
        <v>8</v>
      </c>
      <c r="L3" s="2">
        <v>16</v>
      </c>
      <c r="M3" s="2">
        <v>24</v>
      </c>
      <c r="N3" s="2">
        <v>32</v>
      </c>
      <c r="O3" s="2">
        <v>40</v>
      </c>
    </row>
    <row r="4" spans="1:15" ht="14.25" customHeight="1" x14ac:dyDescent="0.3">
      <c r="A4" s="2" t="s">
        <v>11</v>
      </c>
      <c r="B4" s="2"/>
      <c r="C4" s="2"/>
      <c r="D4" s="2">
        <v>1</v>
      </c>
      <c r="E4" s="2"/>
      <c r="F4" s="2"/>
      <c r="G4" s="2"/>
      <c r="H4" s="2">
        <f t="shared" si="0"/>
        <v>16</v>
      </c>
    </row>
    <row r="5" spans="1:15" ht="14.25" customHeight="1" x14ac:dyDescent="0.3">
      <c r="A5" s="2" t="s">
        <v>12</v>
      </c>
      <c r="B5" s="2"/>
      <c r="C5" s="2"/>
      <c r="D5" s="2"/>
      <c r="E5" s="2">
        <v>1</v>
      </c>
      <c r="F5" s="2"/>
      <c r="G5" s="2"/>
      <c r="H5" s="2">
        <f t="shared" si="0"/>
        <v>24</v>
      </c>
    </row>
    <row r="6" spans="1:15" ht="14.25" customHeight="1" x14ac:dyDescent="0.3">
      <c r="A6" s="2" t="s">
        <v>14</v>
      </c>
      <c r="B6" s="2"/>
      <c r="C6" s="2"/>
      <c r="D6" s="2"/>
      <c r="E6" s="2">
        <v>1</v>
      </c>
      <c r="F6" s="2"/>
      <c r="G6" s="2"/>
      <c r="H6" s="2">
        <f t="shared" si="0"/>
        <v>24</v>
      </c>
    </row>
    <row r="7" spans="1:15" ht="14.25" customHeight="1" x14ac:dyDescent="0.3">
      <c r="A7" s="2" t="s">
        <v>16</v>
      </c>
      <c r="B7" s="2"/>
      <c r="C7" s="2"/>
      <c r="D7" s="2"/>
      <c r="E7" s="2"/>
      <c r="F7" s="2">
        <v>1</v>
      </c>
      <c r="G7" s="2"/>
      <c r="H7" s="2">
        <f t="shared" si="0"/>
        <v>32</v>
      </c>
    </row>
    <row r="8" spans="1:15" ht="14.25" customHeight="1" x14ac:dyDescent="0.3">
      <c r="A8" s="2" t="s">
        <v>18</v>
      </c>
      <c r="B8" s="2"/>
      <c r="C8" s="2"/>
      <c r="D8" s="2"/>
      <c r="E8" s="2"/>
      <c r="F8" s="2">
        <v>1</v>
      </c>
      <c r="G8" s="2"/>
      <c r="H8" s="2">
        <f t="shared" si="0"/>
        <v>32</v>
      </c>
    </row>
    <row r="9" spans="1:15" ht="14.25" customHeight="1" x14ac:dyDescent="0.3">
      <c r="A9" s="2" t="s">
        <v>20</v>
      </c>
      <c r="B9" s="2"/>
      <c r="C9" s="2"/>
      <c r="D9" s="2"/>
      <c r="E9" s="2"/>
      <c r="F9" s="2"/>
      <c r="G9" s="2">
        <v>1</v>
      </c>
      <c r="H9" s="2">
        <f t="shared" si="0"/>
        <v>40</v>
      </c>
    </row>
    <row r="10" spans="1:15" ht="14.25" customHeight="1" x14ac:dyDescent="0.3">
      <c r="A10" s="2" t="s">
        <v>21</v>
      </c>
      <c r="B10" s="2"/>
      <c r="C10" s="2"/>
      <c r="D10" s="2"/>
      <c r="E10" s="2"/>
      <c r="F10" s="2">
        <v>1</v>
      </c>
      <c r="G10" s="2"/>
      <c r="H10" s="2">
        <f t="shared" si="0"/>
        <v>32</v>
      </c>
    </row>
    <row r="11" spans="1:15" ht="14.25" customHeight="1" x14ac:dyDescent="0.3">
      <c r="A11" s="2" t="s">
        <v>22</v>
      </c>
      <c r="B11" s="2"/>
      <c r="C11" s="2"/>
      <c r="D11" s="2"/>
      <c r="E11" s="2">
        <v>1</v>
      </c>
      <c r="F11" s="2"/>
      <c r="G11" s="2"/>
      <c r="H11" s="2">
        <f t="shared" si="0"/>
        <v>24</v>
      </c>
    </row>
    <row r="12" spans="1:15" ht="14.25" customHeight="1" x14ac:dyDescent="0.3">
      <c r="A12" s="2" t="s">
        <v>23</v>
      </c>
      <c r="B12" s="2"/>
      <c r="C12" s="2"/>
      <c r="D12" s="2"/>
      <c r="E12" s="2"/>
      <c r="F12" s="2"/>
      <c r="G12" s="2">
        <v>1</v>
      </c>
      <c r="H12" s="2">
        <f t="shared" si="0"/>
        <v>40</v>
      </c>
    </row>
    <row r="13" spans="1:15" ht="14.25" customHeight="1" x14ac:dyDescent="0.3">
      <c r="A13" s="2" t="s">
        <v>24</v>
      </c>
      <c r="B13" s="2"/>
      <c r="C13" s="2"/>
      <c r="D13" s="2"/>
      <c r="E13" s="2">
        <v>1</v>
      </c>
      <c r="F13" s="2"/>
      <c r="G13" s="2"/>
      <c r="H13" s="2">
        <f t="shared" si="0"/>
        <v>24</v>
      </c>
    </row>
    <row r="15" spans="1:15" x14ac:dyDescent="0.3">
      <c r="G15" s="4" t="s">
        <v>13</v>
      </c>
      <c r="H15" s="4">
        <f>SUM(H2:H13)</f>
        <v>304</v>
      </c>
    </row>
    <row r="16" spans="1:15" x14ac:dyDescent="0.3">
      <c r="G16" s="2" t="s">
        <v>15</v>
      </c>
      <c r="H16" s="2">
        <f>H15/8</f>
        <v>38</v>
      </c>
    </row>
    <row r="17" spans="7:8" x14ac:dyDescent="0.3">
      <c r="G17" s="2" t="s">
        <v>17</v>
      </c>
      <c r="H17" s="2">
        <f>H16/5</f>
        <v>7.6</v>
      </c>
    </row>
    <row r="18" spans="7:8" x14ac:dyDescent="0.3">
      <c r="G18" s="2" t="s">
        <v>19</v>
      </c>
      <c r="H18" s="2">
        <f>H17/4</f>
        <v>1.9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zoomScaleNormal="100" workbookViewId="0">
      <selection activeCell="G24" sqref="G24"/>
    </sheetView>
  </sheetViews>
  <sheetFormatPr baseColWidth="10" defaultColWidth="8.88671875" defaultRowHeight="14.4" x14ac:dyDescent="0.3"/>
  <cols>
    <col min="1" max="1" width="13.77734375" customWidth="1"/>
    <col min="2" max="2" width="16.77734375" customWidth="1"/>
    <col min="3" max="3" width="13.109375" customWidth="1"/>
  </cols>
  <sheetData>
    <row r="1" spans="1:3" ht="14.25" customHeight="1" x14ac:dyDescent="0.3">
      <c r="A1" s="5" t="s">
        <v>25</v>
      </c>
      <c r="B1" s="5" t="s">
        <v>26</v>
      </c>
      <c r="C1" s="5" t="s">
        <v>27</v>
      </c>
    </row>
    <row r="2" spans="1:3" ht="14.25" customHeight="1" x14ac:dyDescent="0.3">
      <c r="A2" s="2" t="s">
        <v>28</v>
      </c>
      <c r="B2" s="2" t="s">
        <v>29</v>
      </c>
      <c r="C2" s="2">
        <v>25000</v>
      </c>
    </row>
    <row r="3" spans="1:3" ht="14.25" customHeight="1" x14ac:dyDescent="0.3">
      <c r="A3" s="2" t="s">
        <v>28</v>
      </c>
      <c r="B3" s="2" t="s">
        <v>30</v>
      </c>
      <c r="C3" s="2">
        <v>18000</v>
      </c>
    </row>
    <row r="4" spans="1:3" ht="14.25" customHeight="1" x14ac:dyDescent="0.3">
      <c r="A4" s="2" t="s">
        <v>28</v>
      </c>
      <c r="B4" s="2" t="s">
        <v>31</v>
      </c>
      <c r="C4" s="2">
        <v>22000</v>
      </c>
    </row>
    <row r="5" spans="1:3" ht="14.25" customHeight="1" x14ac:dyDescent="0.3">
      <c r="A5" s="2" t="s">
        <v>28</v>
      </c>
      <c r="B5" s="2" t="s">
        <v>32</v>
      </c>
      <c r="C5" s="2">
        <v>12000</v>
      </c>
    </row>
    <row r="6" spans="1:3" ht="14.25" customHeight="1" x14ac:dyDescent="0.3">
      <c r="A6" s="2" t="s">
        <v>33</v>
      </c>
      <c r="B6" s="2" t="s">
        <v>34</v>
      </c>
      <c r="C6" s="2">
        <v>6000</v>
      </c>
    </row>
    <row r="7" spans="1:3" ht="14.25" customHeight="1" x14ac:dyDescent="0.3">
      <c r="A7" s="2" t="s">
        <v>33</v>
      </c>
      <c r="B7" s="2" t="s">
        <v>35</v>
      </c>
      <c r="C7" s="2">
        <v>1500</v>
      </c>
    </row>
    <row r="8" spans="1:3" ht="14.25" customHeight="1" x14ac:dyDescent="0.3">
      <c r="A8" s="2" t="s">
        <v>36</v>
      </c>
      <c r="B8" s="2" t="s">
        <v>37</v>
      </c>
      <c r="C8" s="2">
        <v>3000</v>
      </c>
    </row>
    <row r="9" spans="1:3" ht="14.25" customHeight="1" x14ac:dyDescent="0.3">
      <c r="A9" s="2" t="s">
        <v>38</v>
      </c>
      <c r="B9" s="2" t="s">
        <v>39</v>
      </c>
      <c r="C9" s="2">
        <v>8000</v>
      </c>
    </row>
    <row r="10" spans="1:3" ht="14.25" customHeight="1" x14ac:dyDescent="0.3">
      <c r="A10" s="2" t="s">
        <v>40</v>
      </c>
      <c r="B10" s="2" t="s">
        <v>41</v>
      </c>
      <c r="C10" s="2">
        <v>4000</v>
      </c>
    </row>
    <row r="11" spans="1:3" ht="14.25" customHeight="1" x14ac:dyDescent="0.3">
      <c r="A11" s="2" t="s">
        <v>42</v>
      </c>
      <c r="B11" s="2"/>
      <c r="C11" s="2">
        <f>SUM(C2:C10)</f>
        <v>99500</v>
      </c>
    </row>
    <row r="13" spans="1:3" x14ac:dyDescent="0.3">
      <c r="A13" s="6" t="s">
        <v>43</v>
      </c>
    </row>
    <row r="14" spans="1:3" x14ac:dyDescent="0.3">
      <c r="A14" s="5" t="s">
        <v>25</v>
      </c>
      <c r="B14" s="5" t="s">
        <v>26</v>
      </c>
      <c r="C14" s="5" t="s">
        <v>27</v>
      </c>
    </row>
    <row r="15" spans="1:3" x14ac:dyDescent="0.3">
      <c r="A15" s="7" t="s">
        <v>44</v>
      </c>
      <c r="B15" s="7" t="s">
        <v>45</v>
      </c>
      <c r="C15" s="8">
        <v>10000</v>
      </c>
    </row>
    <row r="16" spans="1:3" x14ac:dyDescent="0.3">
      <c r="A16" s="7" t="s">
        <v>46</v>
      </c>
      <c r="B16" s="7" t="s">
        <v>47</v>
      </c>
      <c r="C16" s="8">
        <v>9000</v>
      </c>
    </row>
    <row r="17" spans="1:3" x14ac:dyDescent="0.3">
      <c r="A17" s="7" t="s">
        <v>48</v>
      </c>
      <c r="B17" s="7" t="s">
        <v>49</v>
      </c>
      <c r="C17" s="8">
        <v>6000</v>
      </c>
    </row>
    <row r="18" spans="1:3" x14ac:dyDescent="0.3">
      <c r="A18" s="7" t="s">
        <v>33</v>
      </c>
      <c r="B18" s="7" t="s">
        <v>50</v>
      </c>
      <c r="C18" s="8">
        <v>3000</v>
      </c>
    </row>
    <row r="19" spans="1:3" x14ac:dyDescent="0.3">
      <c r="A19" s="7" t="s">
        <v>36</v>
      </c>
      <c r="B19" s="7" t="s">
        <v>51</v>
      </c>
      <c r="C19" s="8">
        <v>4000</v>
      </c>
    </row>
    <row r="20" spans="1:3" x14ac:dyDescent="0.3">
      <c r="A20" s="7" t="s">
        <v>52</v>
      </c>
      <c r="B20" s="7" t="s">
        <v>53</v>
      </c>
      <c r="C20" s="8">
        <v>3500</v>
      </c>
    </row>
    <row r="21" spans="1:3" x14ac:dyDescent="0.3">
      <c r="A21" s="7" t="s">
        <v>54</v>
      </c>
      <c r="B21" s="7" t="s">
        <v>55</v>
      </c>
      <c r="C21" s="8">
        <v>2500</v>
      </c>
    </row>
    <row r="22" spans="1:3" x14ac:dyDescent="0.3">
      <c r="A22" s="5" t="s">
        <v>56</v>
      </c>
      <c r="B22" s="2"/>
      <c r="C22" s="9">
        <f>SUM(C15:C21)</f>
        <v>38000</v>
      </c>
    </row>
    <row r="24" spans="1:3" x14ac:dyDescent="0.3">
      <c r="A24" s="10"/>
    </row>
    <row r="25" spans="1:3" x14ac:dyDescent="0.3">
      <c r="A25" s="5" t="s">
        <v>57</v>
      </c>
      <c r="B25" s="2"/>
      <c r="C25" s="9">
        <f>C11+C22</f>
        <v>137500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</vt:lpstr>
      <vt:lpstr>Costos TaskSyncPro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Tecorralco</cp:lastModifiedBy>
  <cp:revision>0</cp:revision>
  <dcterms:created xsi:type="dcterms:W3CDTF">2026-08-04T17:16:10Z</dcterms:created>
  <dcterms:modified xsi:type="dcterms:W3CDTF">2026-08-04T18:01:18Z</dcterms:modified>
  <dc:language>en-US</dc:language>
</cp:coreProperties>
</file>